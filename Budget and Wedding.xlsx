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72d0a92ad25842f/Documents/Budget API/"/>
    </mc:Choice>
  </mc:AlternateContent>
  <xr:revisionPtr revIDLastSave="80" documentId="13_ncr:1_{97826B45-CBC0-4111-BE9A-936F975FB5B7}" xr6:coauthVersionLast="47" xr6:coauthVersionMax="47" xr10:uidLastSave="{9841669B-09F9-4D1F-9285-5076ABD1A1F8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B5" i="1"/>
  <c r="T2" i="2"/>
  <c r="T3" i="2"/>
  <c r="Q2" i="2"/>
  <c r="Q3" i="2"/>
  <c r="Q4" i="2"/>
  <c r="N2" i="2"/>
  <c r="N3" i="2"/>
  <c r="N4" i="2"/>
  <c r="N5" i="2"/>
  <c r="N6" i="2"/>
  <c r="T1" i="2"/>
  <c r="Q1" i="2"/>
  <c r="N1" i="2"/>
  <c r="M2" i="2"/>
  <c r="P2" i="2"/>
  <c r="S2" i="2"/>
  <c r="M3" i="2"/>
  <c r="P3" i="2"/>
  <c r="S3" i="2"/>
  <c r="M4" i="2"/>
  <c r="P4" i="2"/>
  <c r="M5" i="2"/>
  <c r="M6" i="2"/>
  <c r="M7" i="2"/>
  <c r="S1" i="2"/>
  <c r="P1" i="2"/>
  <c r="M1" i="2"/>
  <c r="E10" i="1"/>
  <c r="B10" i="2" s="1"/>
  <c r="J2" i="2"/>
  <c r="K2" i="2"/>
  <c r="J3" i="2"/>
  <c r="K3" i="2"/>
  <c r="J4" i="2"/>
  <c r="K4" i="2"/>
  <c r="J5" i="2"/>
  <c r="K5" i="2"/>
  <c r="J6" i="2"/>
  <c r="K6" i="2"/>
  <c r="J7" i="2"/>
  <c r="K7" i="2"/>
  <c r="J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K1" i="2"/>
  <c r="G2" i="2"/>
  <c r="G3" i="2"/>
  <c r="G4" i="2"/>
  <c r="H1" i="2"/>
  <c r="G1" i="2"/>
  <c r="A2" i="2"/>
  <c r="B2" i="2"/>
  <c r="A3" i="2"/>
  <c r="B3" i="2"/>
  <c r="A4" i="2"/>
  <c r="B4" i="2"/>
  <c r="A5" i="2"/>
  <c r="A6" i="2"/>
  <c r="B6" i="2"/>
  <c r="A7" i="2"/>
  <c r="B7" i="2"/>
  <c r="A8" i="2"/>
  <c r="B8" i="2"/>
  <c r="A9" i="2"/>
  <c r="B9" i="2"/>
  <c r="A10" i="2"/>
  <c r="A11" i="2"/>
  <c r="D1" i="2"/>
  <c r="D2" i="2"/>
  <c r="E2" i="2"/>
  <c r="D3" i="2"/>
  <c r="E3" i="2"/>
  <c r="D4" i="2"/>
  <c r="E4" i="2"/>
  <c r="D5" i="2"/>
  <c r="E5" i="2"/>
  <c r="D6" i="2"/>
  <c r="E6" i="2"/>
  <c r="D7" i="2"/>
  <c r="E7" i="2"/>
  <c r="B1" i="2"/>
  <c r="A1" i="2"/>
  <c r="B3" i="1"/>
  <c r="K14" i="1"/>
  <c r="N7" i="2" s="1"/>
  <c r="B26" i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H19" i="1"/>
  <c r="E15" i="1" s="1"/>
  <c r="E16" i="1"/>
  <c r="H11" i="1"/>
  <c r="E6" i="1"/>
  <c r="B4" i="1"/>
  <c r="B2" i="1"/>
  <c r="H8" i="1" l="1"/>
  <c r="B6" i="1"/>
  <c r="B11" i="1" s="1"/>
  <c r="H2" i="2" s="1"/>
  <c r="E18" i="1"/>
  <c r="E19" i="1" s="1"/>
  <c r="K8" i="2" l="1"/>
  <c r="K17" i="2" s="1"/>
  <c r="E5" i="1"/>
  <c r="B5" i="2" l="1"/>
  <c r="E11" i="1"/>
  <c r="B12" i="1" l="1"/>
  <c r="B11" i="2"/>
  <c r="B13" i="1" l="1"/>
  <c r="H3" i="2"/>
  <c r="A14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H4" i="2"/>
  <c r="D31" i="1" l="1"/>
  <c r="D26" i="1"/>
  <c r="D36" i="1"/>
  <c r="D22" i="1"/>
</calcChain>
</file>

<file path=xl/sharedStrings.xml><?xml version="1.0" encoding="utf-8"?>
<sst xmlns="http://schemas.openxmlformats.org/spreadsheetml/2006/main" count="76" uniqueCount="61">
  <si>
    <t>Net Income Per Month</t>
  </si>
  <si>
    <t>Amount</t>
  </si>
  <si>
    <t>Monthly cost</t>
  </si>
  <si>
    <t xml:space="preserve">Stocks </t>
  </si>
  <si>
    <t>Price</t>
  </si>
  <si>
    <t>Conner JSE</t>
  </si>
  <si>
    <t>Groceries</t>
  </si>
  <si>
    <t>Spotify Conner</t>
  </si>
  <si>
    <t>Kensey IRA</t>
  </si>
  <si>
    <t>Kensey Nanny Aaron</t>
  </si>
  <si>
    <t>Gas</t>
  </si>
  <si>
    <t>Spotify Kensey</t>
  </si>
  <si>
    <t>Conner IRA</t>
  </si>
  <si>
    <t>Kensey Nanny Griffin</t>
  </si>
  <si>
    <t>chipolte</t>
  </si>
  <si>
    <t>Mint Mobile Kensey</t>
  </si>
  <si>
    <t>Conner Mutual Funds</t>
  </si>
  <si>
    <t>Kensey PST</t>
  </si>
  <si>
    <t>Subscriptions</t>
  </si>
  <si>
    <t>Mint Mobile Conner</t>
  </si>
  <si>
    <t>Net income Per Month</t>
  </si>
  <si>
    <t>Stocks</t>
  </si>
  <si>
    <t>Apple Conner</t>
  </si>
  <si>
    <t>Tithe</t>
  </si>
  <si>
    <t>ASPCA Conner</t>
  </si>
  <si>
    <t>Shopping</t>
  </si>
  <si>
    <t>rent</t>
  </si>
  <si>
    <t>Wifi</t>
  </si>
  <si>
    <t>Total</t>
  </si>
  <si>
    <t>School</t>
  </si>
  <si>
    <t>Gym</t>
  </si>
  <si>
    <t>Profit</t>
  </si>
  <si>
    <t>Costco Memberhsip</t>
  </si>
  <si>
    <t>Cost</t>
  </si>
  <si>
    <t>Netflix</t>
  </si>
  <si>
    <t>Left</t>
  </si>
  <si>
    <t>ENVELOPE DIS SHIT</t>
  </si>
  <si>
    <t>Train</t>
  </si>
  <si>
    <t>Savings per month for annual payment</t>
  </si>
  <si>
    <t>Oura rings</t>
  </si>
  <si>
    <t>i*=8%</t>
  </si>
  <si>
    <t>Kensey Classes</t>
  </si>
  <si>
    <t>16800 saved per year</t>
  </si>
  <si>
    <t>year</t>
  </si>
  <si>
    <t>Utilities</t>
  </si>
  <si>
    <t>Costco Membership</t>
  </si>
  <si>
    <t>total</t>
  </si>
  <si>
    <t>Kensey Debt</t>
  </si>
  <si>
    <t>total saved over 5 years with 8% market returns</t>
  </si>
  <si>
    <t>total saved over 10 years with 8% market returns</t>
  </si>
  <si>
    <t>total saved over 15 years with 8% market returns</t>
  </si>
  <si>
    <t>total saved over 20 years with 8% market returns</t>
  </si>
  <si>
    <t>Insurance</t>
  </si>
  <si>
    <t>Rav 4</t>
  </si>
  <si>
    <t>Corolla</t>
  </si>
  <si>
    <t>Ninja 400</t>
  </si>
  <si>
    <t>Triumph</t>
  </si>
  <si>
    <t>Yearly</t>
  </si>
  <si>
    <t>Monthly</t>
  </si>
  <si>
    <t>Renters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</si>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</sst>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E06666"/>
      </patternFill>
    </fill>
    <fill>
      <patternFill patternType="solid">
        <fgColor theme="7"/>
        <bgColor rgb="FF93C47D"/>
      </patternFill>
    </fill>
    <fill>
      <patternFill patternType="solid">
        <fgColor theme="5"/>
        <bgColor rgb="FF93C47D"/>
      </patternFill>
    </fill>
    <fill>
      <patternFill patternType="solid">
        <fgColor theme="5"/>
        <bgColor rgb="FFE06666"/>
      </patternFill>
    </fill>
    <fill>
      <patternFill patternType="solid">
        <fgColor theme="9" tint="0.79998168889431442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2" fillId="0" borderId="2" xfId="0" applyFont="1" applyBorder="1"/>
    <xf numFmtId="0" fontId="1" fillId="0" borderId="4" xfId="0" applyFont="1" applyBorder="1"/>
    <xf numFmtId="0" fontId="3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0" xfId="0" applyFont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0" fontId="1" fillId="0" borderId="9" xfId="0" applyFont="1" applyBorder="1"/>
    <xf numFmtId="164" fontId="1" fillId="0" borderId="0" xfId="0" applyNumberFormat="1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1" fillId="6" borderId="4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6"/>
  <sheetViews>
    <sheetView tabSelected="1" topLeftCell="A7" workbookViewId="0">
      <selection activeCell="A19" sqref="A19"/>
    </sheetView>
  </sheetViews>
  <sheetFormatPr defaultColWidth="12.6328125" defaultRowHeight="15.75" customHeight="1"/>
  <cols>
    <col min="1" max="1" width="17.6328125" customWidth="1"/>
    <col min="4" max="4" width="16.90625" customWidth="1"/>
    <col min="5" max="5" width="17.26953125" customWidth="1"/>
    <col min="7" max="7" width="18" customWidth="1"/>
    <col min="8" max="8" width="17.26953125" customWidth="1"/>
    <col min="10" max="10" width="17" customWidth="1"/>
  </cols>
  <sheetData>
    <row r="1" spans="1:12" ht="15.75" customHeight="1">
      <c r="A1" s="1" t="s">
        <v>0</v>
      </c>
      <c r="B1" s="2" t="s">
        <v>1</v>
      </c>
      <c r="D1" s="1" t="s">
        <v>2</v>
      </c>
      <c r="E1" s="1" t="s">
        <v>1</v>
      </c>
      <c r="G1" s="1" t="s">
        <v>58</v>
      </c>
      <c r="H1" s="1" t="s">
        <v>1</v>
      </c>
      <c r="J1" s="1" t="s">
        <v>3</v>
      </c>
      <c r="K1" s="1" t="s">
        <v>4</v>
      </c>
    </row>
    <row r="2" spans="1:12" ht="15.75" customHeight="1">
      <c r="A2" s="3" t="s">
        <v>5</v>
      </c>
      <c r="B2" s="3">
        <f>23*40*0.817*4</f>
        <v>3006.56</v>
      </c>
      <c r="D2" s="3" t="s">
        <v>6</v>
      </c>
      <c r="E2" s="3">
        <v>600</v>
      </c>
      <c r="G2" s="4" t="s">
        <v>7</v>
      </c>
      <c r="H2" s="4">
        <v>3.5</v>
      </c>
      <c r="J2" s="3" t="s">
        <v>8</v>
      </c>
      <c r="K2" s="3">
        <v>50</v>
      </c>
    </row>
    <row r="3" spans="1:12" ht="15.75" customHeight="1">
      <c r="A3" s="3" t="s">
        <v>9</v>
      </c>
      <c r="B3" s="3">
        <f>24*9.5*4</f>
        <v>912</v>
      </c>
      <c r="D3" s="3" t="s">
        <v>10</v>
      </c>
      <c r="E3" s="3">
        <v>180</v>
      </c>
      <c r="G3" s="3" t="s">
        <v>11</v>
      </c>
      <c r="H3" s="3">
        <v>3.5</v>
      </c>
      <c r="J3" s="3" t="s">
        <v>12</v>
      </c>
      <c r="K3" s="3">
        <v>100</v>
      </c>
    </row>
    <row r="4" spans="1:12" ht="14">
      <c r="A4" s="3" t="s">
        <v>13</v>
      </c>
      <c r="B4" s="3">
        <f>25*8*4</f>
        <v>800</v>
      </c>
      <c r="D4" s="5" t="s">
        <v>14</v>
      </c>
      <c r="E4" s="3">
        <v>160</v>
      </c>
      <c r="G4" s="3" t="s">
        <v>15</v>
      </c>
      <c r="H4" s="3">
        <v>20</v>
      </c>
      <c r="J4" s="6" t="s">
        <v>16</v>
      </c>
      <c r="K4" s="6">
        <v>100</v>
      </c>
    </row>
    <row r="5" spans="1:12" ht="14">
      <c r="A5" s="3" t="s">
        <v>17</v>
      </c>
      <c r="B5" s="3">
        <f>24.5*20*4</f>
        <v>1960</v>
      </c>
      <c r="D5" s="7" t="s">
        <v>18</v>
      </c>
      <c r="E5" s="3">
        <f>SUM(H2:H16)</f>
        <v>957.12333333333333</v>
      </c>
      <c r="G5" s="3" t="s">
        <v>19</v>
      </c>
      <c r="H5" s="3">
        <v>20</v>
      </c>
    </row>
    <row r="6" spans="1:12" ht="14">
      <c r="A6" s="24" t="s">
        <v>20</v>
      </c>
      <c r="B6" s="24">
        <f>SUM(B2:B5)</f>
        <v>6678.5599999999995</v>
      </c>
      <c r="D6" s="5" t="s">
        <v>21</v>
      </c>
      <c r="E6" s="3">
        <f>SUM(K2:K4)</f>
        <v>250</v>
      </c>
      <c r="G6" s="3" t="s">
        <v>22</v>
      </c>
      <c r="H6" s="3">
        <v>1</v>
      </c>
    </row>
    <row r="7" spans="1:12" ht="14">
      <c r="D7" s="7" t="s">
        <v>23</v>
      </c>
      <c r="E7" s="3">
        <v>700</v>
      </c>
      <c r="G7" s="3" t="s">
        <v>24</v>
      </c>
      <c r="H7" s="3">
        <v>10</v>
      </c>
    </row>
    <row r="8" spans="1:12" ht="14">
      <c r="D8" s="7" t="s">
        <v>25</v>
      </c>
      <c r="E8" s="3">
        <v>250</v>
      </c>
      <c r="G8" s="8" t="s">
        <v>52</v>
      </c>
      <c r="H8" s="3">
        <f>K14</f>
        <v>350</v>
      </c>
      <c r="J8" s="20" t="s">
        <v>52</v>
      </c>
      <c r="K8" s="19" t="s">
        <v>58</v>
      </c>
      <c r="L8" t="s">
        <v>57</v>
      </c>
    </row>
    <row r="9" spans="1:12" ht="14">
      <c r="D9" s="5" t="s">
        <v>26</v>
      </c>
      <c r="E9" s="3">
        <v>1735</v>
      </c>
      <c r="G9" s="3" t="s">
        <v>27</v>
      </c>
      <c r="H9" s="3">
        <v>50.29</v>
      </c>
      <c r="J9" s="21" t="s">
        <v>53</v>
      </c>
      <c r="K9" s="17">
        <v>350</v>
      </c>
      <c r="L9">
        <v>879.6</v>
      </c>
    </row>
    <row r="10" spans="1:12" ht="14">
      <c r="A10" s="4" t="s">
        <v>28</v>
      </c>
      <c r="B10" s="4" t="s">
        <v>1</v>
      </c>
      <c r="D10" s="5" t="s">
        <v>29</v>
      </c>
      <c r="E10" s="3">
        <f>SUM(H19:H20)</f>
        <v>300</v>
      </c>
      <c r="G10" s="3" t="s">
        <v>30</v>
      </c>
      <c r="H10" s="3">
        <v>120</v>
      </c>
      <c r="J10" s="21" t="s">
        <v>54</v>
      </c>
      <c r="K10" s="17">
        <v>0</v>
      </c>
      <c r="L10">
        <v>971.21</v>
      </c>
    </row>
    <row r="11" spans="1:12" ht="14">
      <c r="A11" s="23" t="s">
        <v>31</v>
      </c>
      <c r="B11" s="23">
        <f>B6</f>
        <v>6678.5599999999995</v>
      </c>
      <c r="D11" s="26" t="s">
        <v>28</v>
      </c>
      <c r="E11" s="27">
        <f>SUM(E2:E10)</f>
        <v>5132.123333333333</v>
      </c>
      <c r="G11" s="3" t="s">
        <v>32</v>
      </c>
      <c r="H11" s="9">
        <f>130/12</f>
        <v>10.833333333333334</v>
      </c>
      <c r="J11" s="21" t="s">
        <v>55</v>
      </c>
      <c r="K11" s="17">
        <v>0</v>
      </c>
      <c r="L11">
        <v>321.33999999999997</v>
      </c>
    </row>
    <row r="12" spans="1:12" ht="14">
      <c r="A12" s="25" t="s">
        <v>33</v>
      </c>
      <c r="B12" s="25">
        <f>E11</f>
        <v>5132.123333333333</v>
      </c>
      <c r="D12" s="10"/>
      <c r="G12" s="3" t="s">
        <v>34</v>
      </c>
      <c r="H12" s="3">
        <v>8</v>
      </c>
      <c r="J12" s="21" t="s">
        <v>56</v>
      </c>
      <c r="K12" s="17">
        <v>0</v>
      </c>
      <c r="L12">
        <v>107.53</v>
      </c>
    </row>
    <row r="13" spans="1:12" ht="15.75" customHeight="1">
      <c r="A13" s="28" t="s">
        <v>35</v>
      </c>
      <c r="B13" s="28">
        <f>B11-B12</f>
        <v>1546.4366666666665</v>
      </c>
      <c r="D13" s="11" t="s">
        <v>36</v>
      </c>
      <c r="G13" s="8" t="s">
        <v>37</v>
      </c>
      <c r="H13" s="3">
        <v>88</v>
      </c>
      <c r="J13" s="22" t="s">
        <v>59</v>
      </c>
      <c r="K13" s="18">
        <v>0</v>
      </c>
      <c r="L13">
        <v>96</v>
      </c>
    </row>
    <row r="14" spans="1:12" ht="15.75" customHeight="1">
      <c r="A14" s="11">
        <f>ROUND(B13,-2)-200</f>
        <v>1300</v>
      </c>
      <c r="D14" s="12" t="s">
        <v>38</v>
      </c>
      <c r="E14" s="13"/>
      <c r="G14" s="8" t="s">
        <v>39</v>
      </c>
      <c r="H14" s="3">
        <v>12</v>
      </c>
      <c r="J14" s="20" t="s">
        <v>28</v>
      </c>
      <c r="K14" s="19">
        <f>SUM(K9:K13)</f>
        <v>350</v>
      </c>
    </row>
    <row r="15" spans="1:12" ht="14">
      <c r="A15" s="11">
        <f>12*A14</f>
        <v>15600</v>
      </c>
      <c r="B15" s="14" t="s">
        <v>40</v>
      </c>
      <c r="D15" s="8" t="s">
        <v>41</v>
      </c>
      <c r="E15" s="3">
        <f>H19</f>
        <v>300</v>
      </c>
      <c r="G15" s="8" t="s">
        <v>27</v>
      </c>
      <c r="H15" s="3">
        <v>60</v>
      </c>
    </row>
    <row r="16" spans="1:12" ht="15.75" customHeight="1">
      <c r="A16" s="11" t="s">
        <v>42</v>
      </c>
      <c r="B16" s="11" t="s">
        <v>43</v>
      </c>
      <c r="D16" s="8" t="s">
        <v>15</v>
      </c>
      <c r="E16" s="3">
        <f>H4</f>
        <v>20</v>
      </c>
      <c r="G16" s="15" t="s">
        <v>44</v>
      </c>
      <c r="H16" s="6">
        <v>200</v>
      </c>
    </row>
    <row r="17" spans="1:8" ht="15.75" customHeight="1">
      <c r="A17" s="11">
        <f>A15</f>
        <v>15600</v>
      </c>
      <c r="B17" s="11">
        <v>1</v>
      </c>
      <c r="D17" s="8" t="s">
        <v>19</v>
      </c>
      <c r="E17" s="3">
        <v>20</v>
      </c>
    </row>
    <row r="18" spans="1:8" ht="15.75" customHeight="1">
      <c r="A18" s="16">
        <f t="shared" ref="A18:A36" si="0">FV(0.08,1,,A17)*-1</f>
        <v>16848</v>
      </c>
      <c r="B18" s="11">
        <v>2</v>
      </c>
      <c r="D18" s="3" t="s">
        <v>45</v>
      </c>
      <c r="E18" s="3">
        <f>H11</f>
        <v>10.833333333333334</v>
      </c>
      <c r="G18" s="1" t="s">
        <v>29</v>
      </c>
      <c r="H18" s="1" t="s">
        <v>33</v>
      </c>
    </row>
    <row r="19" spans="1:8" ht="15.75" customHeight="1">
      <c r="A19" s="16">
        <f t="shared" si="0"/>
        <v>18195.84</v>
      </c>
      <c r="B19" s="11">
        <v>3</v>
      </c>
      <c r="D19" s="12" t="s">
        <v>46</v>
      </c>
      <c r="E19" s="1">
        <f>SUM(E15:E18)</f>
        <v>350.83333333333331</v>
      </c>
      <c r="G19" s="3" t="s">
        <v>41</v>
      </c>
      <c r="H19" s="3">
        <f>600/2</f>
        <v>300</v>
      </c>
    </row>
    <row r="20" spans="1:8" ht="15.75" customHeight="1">
      <c r="A20" s="16">
        <f t="shared" si="0"/>
        <v>19651.5072</v>
      </c>
      <c r="B20" s="11">
        <v>4</v>
      </c>
      <c r="G20" s="6" t="s">
        <v>47</v>
      </c>
      <c r="H20" s="6">
        <v>0</v>
      </c>
    </row>
    <row r="21" spans="1:8" ht="15.75" customHeight="1">
      <c r="A21" s="16">
        <f t="shared" si="0"/>
        <v>21223.627776000001</v>
      </c>
      <c r="B21" s="11">
        <v>5</v>
      </c>
      <c r="D21" s="11" t="s">
        <v>48</v>
      </c>
    </row>
    <row r="22" spans="1:8" ht="15.75" customHeight="1">
      <c r="A22" s="16">
        <f t="shared" si="0"/>
        <v>22921.517998080002</v>
      </c>
      <c r="B22" s="11">
        <v>6</v>
      </c>
      <c r="D22" s="11">
        <f>SUM(A17:A21)</f>
        <v>91518.974975999998</v>
      </c>
    </row>
    <row r="23" spans="1:8" ht="15.75" customHeight="1">
      <c r="A23" s="16">
        <f t="shared" si="0"/>
        <v>24755.239437926404</v>
      </c>
      <c r="B23" s="11">
        <v>7</v>
      </c>
    </row>
    <row r="24" spans="1:8" ht="12.5">
      <c r="A24" s="16">
        <f t="shared" si="0"/>
        <v>26735.658592960517</v>
      </c>
      <c r="B24" s="11">
        <v>8</v>
      </c>
    </row>
    <row r="25" spans="1:8" ht="12.5">
      <c r="A25" s="16">
        <f t="shared" si="0"/>
        <v>28874.511280397361</v>
      </c>
      <c r="B25" s="11">
        <v>9</v>
      </c>
      <c r="D25" s="11" t="s">
        <v>49</v>
      </c>
    </row>
    <row r="26" spans="1:8" ht="12.5">
      <c r="A26" s="16">
        <f t="shared" si="0"/>
        <v>31184.472182829151</v>
      </c>
      <c r="B26" s="11">
        <f t="shared" ref="B26:B36" si="1">B25+1</f>
        <v>10</v>
      </c>
      <c r="D26" s="11">
        <f>SUM(A17:A26)</f>
        <v>225990.37446819345</v>
      </c>
    </row>
    <row r="27" spans="1:8" ht="12.5">
      <c r="A27" s="16">
        <f t="shared" si="0"/>
        <v>33679.229957455485</v>
      </c>
      <c r="B27" s="11">
        <f t="shared" si="1"/>
        <v>11</v>
      </c>
    </row>
    <row r="28" spans="1:8" ht="12.5">
      <c r="A28" s="16">
        <f t="shared" si="0"/>
        <v>36373.568354051924</v>
      </c>
      <c r="B28" s="11">
        <f t="shared" si="1"/>
        <v>12</v>
      </c>
    </row>
    <row r="29" spans="1:8" ht="12.5">
      <c r="A29" s="16">
        <f t="shared" si="0"/>
        <v>39283.453822376083</v>
      </c>
      <c r="B29" s="11">
        <f t="shared" si="1"/>
        <v>13</v>
      </c>
    </row>
    <row r="30" spans="1:8" ht="12.5">
      <c r="A30" s="16">
        <f t="shared" si="0"/>
        <v>42426.130128166173</v>
      </c>
      <c r="B30" s="11">
        <f t="shared" si="1"/>
        <v>14</v>
      </c>
      <c r="D30" s="11" t="s">
        <v>50</v>
      </c>
    </row>
    <row r="31" spans="1:8" ht="12.5">
      <c r="A31" s="16">
        <f t="shared" si="0"/>
        <v>45820.220538419468</v>
      </c>
      <c r="B31" s="11">
        <f t="shared" si="1"/>
        <v>15</v>
      </c>
      <c r="D31" s="11">
        <f>SUM(A17:A31)</f>
        <v>423572.97726866254</v>
      </c>
    </row>
    <row r="32" spans="1:8" ht="12.5">
      <c r="A32" s="16">
        <f t="shared" si="0"/>
        <v>49485.838181493025</v>
      </c>
      <c r="B32" s="11">
        <f t="shared" si="1"/>
        <v>16</v>
      </c>
    </row>
    <row r="33" spans="1:4" ht="12.5">
      <c r="A33" s="16">
        <f t="shared" si="0"/>
        <v>53444.705236012473</v>
      </c>
      <c r="B33" s="11">
        <f t="shared" si="1"/>
        <v>17</v>
      </c>
    </row>
    <row r="34" spans="1:4" ht="12.5">
      <c r="A34" s="16">
        <f t="shared" si="0"/>
        <v>57720.281654893472</v>
      </c>
      <c r="B34" s="11">
        <f t="shared" si="1"/>
        <v>18</v>
      </c>
    </row>
    <row r="35" spans="1:4" ht="12.5">
      <c r="A35" s="16">
        <f t="shared" si="0"/>
        <v>62337.904187284956</v>
      </c>
      <c r="B35" s="11">
        <f t="shared" si="1"/>
        <v>19</v>
      </c>
      <c r="D35" s="11" t="s">
        <v>51</v>
      </c>
    </row>
    <row r="36" spans="1:4" ht="12.5">
      <c r="A36" s="16">
        <f t="shared" si="0"/>
        <v>67324.936522267759</v>
      </c>
      <c r="B36" s="11">
        <f t="shared" si="1"/>
        <v>20</v>
      </c>
      <c r="D36" s="11">
        <f>SUM(A17:A36)</f>
        <v>713886.64305061428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0A77-C53B-4FDA-9242-DDA283C4C84C}">
  <dimension ref="A1:T17"/>
  <sheetViews>
    <sheetView workbookViewId="0">
      <selection activeCell="N18" sqref="N18"/>
    </sheetView>
  </sheetViews>
  <sheetFormatPr defaultRowHeight="12.5"/>
  <cols>
    <col min="1" max="1" width="39.81640625" bestFit="1" customWidth="1"/>
    <col min="2" max="2" width="11.81640625" bestFit="1" customWidth="1"/>
    <col min="4" max="4" width="31.7265625" bestFit="1" customWidth="1"/>
    <col min="10" max="10" width="17" bestFit="1" customWidth="1"/>
    <col min="11" max="11" width="11.81640625" bestFit="1" customWidth="1"/>
    <col min="13" max="13" width="8.54296875" bestFit="1" customWidth="1"/>
    <col min="16" max="16" width="17.90625" bestFit="1" customWidth="1"/>
    <col min="19" max="19" width="13.7265625" bestFit="1" customWidth="1"/>
  </cols>
  <sheetData>
    <row r="1" spans="1:20" ht="13" thickBot="1">
      <c r="A1" s="33" t="str">
        <f>Sheet1!D1</f>
        <v>Monthly cost</v>
      </c>
      <c r="B1" s="31" t="str">
        <f>Sheet1!E1</f>
        <v>Amount</v>
      </c>
      <c r="D1" s="33" t="str">
        <f>Sheet1!D13</f>
        <v>ENVELOPE DIS SHIT</v>
      </c>
      <c r="E1" s="31" t="s">
        <v>60</v>
      </c>
      <c r="G1" s="33" t="str">
        <f>Sheet1!A10</f>
        <v>Total</v>
      </c>
      <c r="H1" s="31" t="str">
        <f>Sheet1!B10</f>
        <v>Amount</v>
      </c>
      <c r="J1" s="33" t="s">
        <v>18</v>
      </c>
      <c r="K1" s="31" t="str">
        <f>Sheet1!H1</f>
        <v>Amount</v>
      </c>
      <c r="M1" s="33" t="str">
        <f>Sheet1!J8</f>
        <v>Insurance</v>
      </c>
      <c r="N1" s="31" t="str">
        <f>Sheet1!K8</f>
        <v>Monthly</v>
      </c>
      <c r="P1" s="33" t="str">
        <f>Sheet1!J1</f>
        <v xml:space="preserve">Stocks </v>
      </c>
      <c r="Q1" s="31" t="str">
        <f>Sheet1!K1</f>
        <v>Price</v>
      </c>
      <c r="S1" s="33" t="str">
        <f>Sheet1!G18</f>
        <v>School</v>
      </c>
      <c r="T1" s="31" t="str">
        <f>Sheet1!H18</f>
        <v>Cost</v>
      </c>
    </row>
    <row r="2" spans="1:20">
      <c r="A2" s="34" t="str">
        <f>Sheet1!D2</f>
        <v>Groceries</v>
      </c>
      <c r="B2" s="29">
        <f>Sheet1!E2</f>
        <v>600</v>
      </c>
      <c r="D2" s="34" t="str">
        <f>Sheet1!D14</f>
        <v>Savings per month for annual payment</v>
      </c>
      <c r="E2" s="29">
        <f>Sheet1!E14</f>
        <v>0</v>
      </c>
      <c r="G2" s="34" t="str">
        <f>Sheet1!A11</f>
        <v>Profit</v>
      </c>
      <c r="H2" s="29">
        <f>Sheet1!B11</f>
        <v>6678.5599999999995</v>
      </c>
      <c r="J2" s="34" t="str">
        <f>Sheet1!G2</f>
        <v>Spotify Conner</v>
      </c>
      <c r="K2" s="29">
        <f>Sheet1!H2</f>
        <v>3.5</v>
      </c>
      <c r="M2" s="34" t="str">
        <f>Sheet1!J9</f>
        <v>Rav 4</v>
      </c>
      <c r="N2" s="29">
        <f>Sheet1!K9</f>
        <v>350</v>
      </c>
      <c r="P2" s="34" t="str">
        <f>Sheet1!J2</f>
        <v>Kensey IRA</v>
      </c>
      <c r="Q2" s="29">
        <f>Sheet1!K2</f>
        <v>50</v>
      </c>
      <c r="S2" s="34" t="str">
        <f>Sheet1!G19</f>
        <v>Kensey Classes</v>
      </c>
      <c r="T2" s="29">
        <f>Sheet1!H19</f>
        <v>300</v>
      </c>
    </row>
    <row r="3" spans="1:20" ht="13" thickBot="1">
      <c r="A3" s="34" t="str">
        <f>Sheet1!D3</f>
        <v>Gas</v>
      </c>
      <c r="B3" s="29">
        <f>Sheet1!E3</f>
        <v>180</v>
      </c>
      <c r="D3" s="34" t="str">
        <f>Sheet1!D15</f>
        <v>Kensey Classes</v>
      </c>
      <c r="E3" s="29">
        <f>Sheet1!E15</f>
        <v>300</v>
      </c>
      <c r="G3" s="34" t="str">
        <f>Sheet1!A12</f>
        <v>Cost</v>
      </c>
      <c r="H3" s="29">
        <f>Sheet1!B12</f>
        <v>5132.123333333333</v>
      </c>
      <c r="J3" s="34" t="str">
        <f>Sheet1!G3</f>
        <v>Spotify Kensey</v>
      </c>
      <c r="K3" s="29">
        <f>Sheet1!H3</f>
        <v>3.5</v>
      </c>
      <c r="M3" s="34" t="str">
        <f>Sheet1!J10</f>
        <v>Corolla</v>
      </c>
      <c r="N3" s="29">
        <f>Sheet1!K10</f>
        <v>0</v>
      </c>
      <c r="P3" s="34" t="str">
        <f>Sheet1!J3</f>
        <v>Conner IRA</v>
      </c>
      <c r="Q3" s="29">
        <f>Sheet1!K3</f>
        <v>100</v>
      </c>
      <c r="S3" s="32" t="str">
        <f>Sheet1!G20</f>
        <v>Kensey Debt</v>
      </c>
      <c r="T3" s="30">
        <f>Sheet1!H20</f>
        <v>0</v>
      </c>
    </row>
    <row r="4" spans="1:20" ht="13" thickBot="1">
      <c r="A4" s="34" t="str">
        <f>Sheet1!D4</f>
        <v>chipolte</v>
      </c>
      <c r="B4" s="29">
        <f>Sheet1!E4</f>
        <v>160</v>
      </c>
      <c r="D4" s="34" t="str">
        <f>Sheet1!D16</f>
        <v>Mint Mobile Kensey</v>
      </c>
      <c r="E4" s="29">
        <f>Sheet1!E16</f>
        <v>20</v>
      </c>
      <c r="G4" s="32" t="str">
        <f>Sheet1!A13</f>
        <v>Left</v>
      </c>
      <c r="H4" s="30">
        <f>Sheet1!B13</f>
        <v>1546.4366666666665</v>
      </c>
      <c r="J4" s="34" t="str">
        <f>Sheet1!G4</f>
        <v>Mint Mobile Kensey</v>
      </c>
      <c r="K4" s="29">
        <f>Sheet1!H4</f>
        <v>20</v>
      </c>
      <c r="M4" s="34" t="str">
        <f>Sheet1!J11</f>
        <v>Ninja 400</v>
      </c>
      <c r="N4" s="29">
        <f>Sheet1!K11</f>
        <v>0</v>
      </c>
      <c r="P4" s="33" t="str">
        <f>Sheet1!J4</f>
        <v>Conner Mutual Funds</v>
      </c>
      <c r="Q4" s="31">
        <f>Sheet1!K4</f>
        <v>100</v>
      </c>
    </row>
    <row r="5" spans="1:20">
      <c r="A5" s="34" t="str">
        <f>Sheet1!D5</f>
        <v>Subscriptions</v>
      </c>
      <c r="B5" s="29">
        <f>Sheet1!E5</f>
        <v>957.12333333333333</v>
      </c>
      <c r="D5" s="34" t="str">
        <f>Sheet1!D17</f>
        <v>Mint Mobile Conner</v>
      </c>
      <c r="E5" s="29">
        <f>Sheet1!E17</f>
        <v>20</v>
      </c>
      <c r="J5" s="34" t="str">
        <f>Sheet1!G5</f>
        <v>Mint Mobile Conner</v>
      </c>
      <c r="K5" s="29">
        <f>Sheet1!H5</f>
        <v>20</v>
      </c>
      <c r="M5" s="34" t="str">
        <f>Sheet1!J12</f>
        <v>Triumph</v>
      </c>
      <c r="N5" s="29">
        <f>Sheet1!K12</f>
        <v>0</v>
      </c>
    </row>
    <row r="6" spans="1:20" ht="13" thickBot="1">
      <c r="A6" s="34" t="str">
        <f>Sheet1!D6</f>
        <v>Stocks</v>
      </c>
      <c r="B6" s="29">
        <f>Sheet1!E6</f>
        <v>250</v>
      </c>
      <c r="D6" s="34" t="str">
        <f>Sheet1!D18</f>
        <v>Costco Membership</v>
      </c>
      <c r="E6" s="29">
        <f>Sheet1!E18</f>
        <v>10.833333333333334</v>
      </c>
      <c r="J6" s="34" t="str">
        <f>Sheet1!G6</f>
        <v>Apple Conner</v>
      </c>
      <c r="K6" s="29">
        <f>Sheet1!H6</f>
        <v>1</v>
      </c>
      <c r="M6" s="34" t="str">
        <f>Sheet1!J13</f>
        <v>Renters</v>
      </c>
      <c r="N6" s="29">
        <f>Sheet1!K13</f>
        <v>0</v>
      </c>
    </row>
    <row r="7" spans="1:20" ht="13" thickBot="1">
      <c r="A7" s="34" t="str">
        <f>Sheet1!D7</f>
        <v>Tithe</v>
      </c>
      <c r="B7" s="29">
        <f>Sheet1!E7</f>
        <v>700</v>
      </c>
      <c r="D7" s="33" t="str">
        <f>Sheet1!D19</f>
        <v>total</v>
      </c>
      <c r="E7" s="31">
        <f>Sheet1!E19</f>
        <v>350.83333333333331</v>
      </c>
      <c r="J7" s="34" t="str">
        <f>Sheet1!G7</f>
        <v>ASPCA Conner</v>
      </c>
      <c r="K7" s="29">
        <f>Sheet1!H7</f>
        <v>10</v>
      </c>
      <c r="M7" s="33" t="str">
        <f>Sheet1!J14</f>
        <v>Total</v>
      </c>
      <c r="N7" s="31">
        <f>Sheet1!K14</f>
        <v>350</v>
      </c>
    </row>
    <row r="8" spans="1:20">
      <c r="A8" s="34" t="str">
        <f>Sheet1!D8</f>
        <v>Shopping</v>
      </c>
      <c r="B8" s="29">
        <f>Sheet1!E8</f>
        <v>250</v>
      </c>
      <c r="J8" s="34" t="str">
        <f>Sheet1!G8</f>
        <v>Insurance</v>
      </c>
      <c r="K8" s="29">
        <f>Sheet1!H8</f>
        <v>350</v>
      </c>
    </row>
    <row r="9" spans="1:20">
      <c r="A9" s="34" t="str">
        <f>Sheet1!D9</f>
        <v>rent</v>
      </c>
      <c r="B9" s="29">
        <f>Sheet1!E9</f>
        <v>1735</v>
      </c>
      <c r="J9" s="34" t="str">
        <f>Sheet1!G9</f>
        <v>Wifi</v>
      </c>
      <c r="K9" s="29">
        <f>Sheet1!H9</f>
        <v>50.29</v>
      </c>
    </row>
    <row r="10" spans="1:20" ht="13" thickBot="1">
      <c r="A10" s="34" t="str">
        <f>Sheet1!D10</f>
        <v>School</v>
      </c>
      <c r="B10" s="29">
        <f>Sheet1!E10</f>
        <v>300</v>
      </c>
      <c r="J10" s="34" t="str">
        <f>Sheet1!G10</f>
        <v>Gym</v>
      </c>
      <c r="K10" s="29">
        <f>Sheet1!H10</f>
        <v>120</v>
      </c>
    </row>
    <row r="11" spans="1:20" ht="13" thickBot="1">
      <c r="A11" s="33" t="str">
        <f>Sheet1!D11</f>
        <v>Total</v>
      </c>
      <c r="B11" s="31">
        <f>Sheet1!E11</f>
        <v>5132.123333333333</v>
      </c>
      <c r="J11" s="34" t="str">
        <f>Sheet1!G11</f>
        <v>Costco Memberhsip</v>
      </c>
      <c r="K11" s="29">
        <f>Sheet1!H11</f>
        <v>10.833333333333334</v>
      </c>
    </row>
    <row r="12" spans="1:20">
      <c r="J12" s="34" t="str">
        <f>Sheet1!G12</f>
        <v>Netflix</v>
      </c>
      <c r="K12" s="29">
        <f>Sheet1!H12</f>
        <v>8</v>
      </c>
    </row>
    <row r="13" spans="1:20">
      <c r="J13" s="34" t="str">
        <f>Sheet1!G13</f>
        <v>Train</v>
      </c>
      <c r="K13" s="29">
        <f>Sheet1!H13</f>
        <v>88</v>
      </c>
    </row>
    <row r="14" spans="1:20">
      <c r="J14" s="34" t="str">
        <f>Sheet1!G14</f>
        <v>Oura rings</v>
      </c>
      <c r="K14" s="29">
        <f>Sheet1!H14</f>
        <v>12</v>
      </c>
    </row>
    <row r="15" spans="1:20">
      <c r="J15" s="34" t="str">
        <f>Sheet1!G15</f>
        <v>Wifi</v>
      </c>
      <c r="K15" s="29">
        <f>Sheet1!H15</f>
        <v>60</v>
      </c>
    </row>
    <row r="16" spans="1:20" ht="13" thickBot="1">
      <c r="J16" s="34" t="str">
        <f>Sheet1!G16</f>
        <v>Utilities</v>
      </c>
      <c r="K16" s="29">
        <f>Sheet1!H16</f>
        <v>200</v>
      </c>
    </row>
    <row r="17" spans="10:11" ht="13" thickBot="1">
      <c r="J17" s="33" t="s">
        <v>46</v>
      </c>
      <c r="K17" s="31">
        <f>SUM(K2:K16)</f>
        <v>957.12333333333333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Hughes</cp:lastModifiedBy>
  <dcterms:modified xsi:type="dcterms:W3CDTF">2026-02-26T19:59:43Z</dcterms:modified>
</cp:coreProperties>
</file>